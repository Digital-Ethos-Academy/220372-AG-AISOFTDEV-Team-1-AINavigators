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640109\T1Capstone\"/>
    </mc:Choice>
  </mc:AlternateContent>
  <xr:revisionPtr revIDLastSave="0" documentId="13_ncr:1_{791050B0-76EF-4453-B5F9-2B5E932A35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T8" i="1"/>
  <c r="R8" i="1"/>
  <c r="P8" i="1"/>
  <c r="N8" i="1"/>
  <c r="L8" i="1"/>
  <c r="J8" i="1"/>
  <c r="H8" i="1"/>
  <c r="W8" i="1" s="1"/>
  <c r="F8" i="1"/>
  <c r="V7" i="1"/>
  <c r="W7" i="1" s="1"/>
  <c r="T7" i="1"/>
  <c r="R7" i="1"/>
  <c r="P7" i="1"/>
  <c r="N7" i="1"/>
  <c r="L7" i="1"/>
  <c r="J7" i="1"/>
  <c r="H7" i="1"/>
  <c r="F7" i="1"/>
  <c r="V6" i="1"/>
  <c r="T6" i="1"/>
  <c r="R6" i="1"/>
  <c r="P6" i="1"/>
  <c r="W6" i="1" s="1"/>
  <c r="N6" i="1"/>
  <c r="L6" i="1"/>
  <c r="J6" i="1"/>
  <c r="H6" i="1"/>
  <c r="F6" i="1"/>
  <c r="V5" i="1"/>
  <c r="T5" i="1"/>
  <c r="R5" i="1"/>
  <c r="P5" i="1"/>
  <c r="N5" i="1"/>
  <c r="L5" i="1"/>
  <c r="W5" i="1" s="1"/>
  <c r="J5" i="1"/>
  <c r="H5" i="1"/>
  <c r="F5" i="1"/>
  <c r="V4" i="1"/>
  <c r="T4" i="1"/>
  <c r="R4" i="1"/>
  <c r="P4" i="1"/>
  <c r="N4" i="1"/>
  <c r="L4" i="1"/>
  <c r="J4" i="1"/>
  <c r="H4" i="1"/>
  <c r="W4" i="1" s="1"/>
  <c r="F4" i="1"/>
  <c r="V3" i="1"/>
  <c r="T3" i="1"/>
  <c r="R3" i="1"/>
  <c r="P3" i="1"/>
  <c r="N3" i="1"/>
  <c r="L3" i="1"/>
  <c r="J3" i="1"/>
  <c r="H3" i="1"/>
  <c r="F3" i="1"/>
  <c r="N1" i="1"/>
  <c r="L1" i="1"/>
  <c r="J1" i="1"/>
  <c r="H1" i="1"/>
  <c r="W3" i="1" l="1"/>
</calcChain>
</file>

<file path=xl/sharedStrings.xml><?xml version="1.0" encoding="utf-8"?>
<sst xmlns="http://schemas.openxmlformats.org/spreadsheetml/2006/main" count="28" uniqueCount="28">
  <si>
    <t>Full Time Hours</t>
  </si>
  <si>
    <t>Role</t>
  </si>
  <si>
    <t>LCAT</t>
  </si>
  <si>
    <t>Name</t>
  </si>
  <si>
    <t xml:space="preserve">Funded Hours </t>
  </si>
  <si>
    <t>September</t>
  </si>
  <si>
    <t>%FTE</t>
  </si>
  <si>
    <t>October</t>
  </si>
  <si>
    <t>%FTE2</t>
  </si>
  <si>
    <t>November</t>
  </si>
  <si>
    <t>%FTE3</t>
  </si>
  <si>
    <t xml:space="preserve">December </t>
  </si>
  <si>
    <t>%FTE4</t>
  </si>
  <si>
    <t xml:space="preserve">January </t>
  </si>
  <si>
    <t>%FTE5</t>
  </si>
  <si>
    <t>February</t>
  </si>
  <si>
    <t>%FTE6</t>
  </si>
  <si>
    <t>March</t>
  </si>
  <si>
    <t>%FTE7</t>
  </si>
  <si>
    <t>April</t>
  </si>
  <si>
    <t>%FTE8</t>
  </si>
  <si>
    <t>May</t>
  </si>
  <si>
    <t>%FTE9</t>
  </si>
  <si>
    <t>Hours Delta</t>
  </si>
  <si>
    <t>18 Sprints, 36 weeks</t>
  </si>
  <si>
    <t>Bob</t>
  </si>
  <si>
    <t>Software Engineer 1</t>
  </si>
  <si>
    <t>Devloper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</si>
</sst>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3" fillId="3" borderId="0" xfId="0" applyFont="1" applyFill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23"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42FB6-0313-4A8F-A32B-8E802C0A17CE}" name="Table25" displayName="Table25" ref="A2:W8" totalsRowShown="0" headerRowDxfId="22" headerRowBorderDxfId="21" tableBorderDxfId="20">
  <autoFilter ref="A2:W8" xr:uid="{C2242FB6-0313-4A8F-A32B-8E802C0A17CE}"/>
  <tableColumns count="23">
    <tableColumn id="1" xr3:uid="{86E64FDB-66DF-42FD-A3B3-BDC3D5B784A1}" name="Role"/>
    <tableColumn id="2" xr3:uid="{3CAAAB8B-0B17-476F-BE63-94DC99F13FF4}" name="LCAT"/>
    <tableColumn id="3" xr3:uid="{C215CCB1-2F65-4DFD-AB83-7C13275476D7}" name="Name"/>
    <tableColumn id="4" xr3:uid="{567B19FA-887E-4642-AA92-6F05304B0F8B}" name="Funded Hours " dataDxfId="19"/>
    <tableColumn id="5" xr3:uid="{CB97B120-C589-4133-8C20-B1C1931E6AE1}" name="September" dataDxfId="18"/>
    <tableColumn id="6" xr3:uid="{8905842D-3EBD-43CB-B0C0-51BD37B9A503}" name="%FTE" dataDxfId="17"/>
    <tableColumn id="7" xr3:uid="{EFB99465-B2B9-46B8-AB5A-BB423497F29E}" name="October" dataDxfId="16"/>
    <tableColumn id="8" xr3:uid="{E1C4F5AD-9E3B-4568-8539-32D562A94B61}" name="%FTE2" dataDxfId="15">
      <calculatedColumnFormula>G3/G$1</calculatedColumnFormula>
    </tableColumn>
    <tableColumn id="9" xr3:uid="{7EDE6F31-EEAB-4807-92E1-C968AC7FD846}" name="November" dataDxfId="14"/>
    <tableColumn id="10" xr3:uid="{A9961D87-BA7E-4D5B-89A1-362BAAA096BE}" name="%FTE3" dataDxfId="13">
      <calculatedColumnFormula>I3/I$1</calculatedColumnFormula>
    </tableColumn>
    <tableColumn id="11" xr3:uid="{89B29112-8952-4242-A86D-3C6E33ACC4EC}" name="December " dataDxfId="12"/>
    <tableColumn id="12" xr3:uid="{27A6F624-2F1E-4DEC-9870-804C183D58BE}" name="%FTE4" dataDxfId="11">
      <calculatedColumnFormula>K3/K$1</calculatedColumnFormula>
    </tableColumn>
    <tableColumn id="13" xr3:uid="{A0ACF023-7D4A-47DC-9169-F685B476C9C3}" name="January " dataDxfId="10"/>
    <tableColumn id="14" xr3:uid="{8F5EADB4-9F0B-4C3E-A22D-E70D6A23E287}" name="%FTE5" dataDxfId="9">
      <calculatedColumnFormula>M3/M$1</calculatedColumnFormula>
    </tableColumn>
    <tableColumn id="15" xr3:uid="{DA81FB11-B7F9-48DC-B6C0-1975D0D46E5E}" name="February" dataDxfId="8"/>
    <tableColumn id="16" xr3:uid="{6E82EEAC-994D-4AA6-AA9D-48422E19AB4A}" name="%FTE6" dataDxfId="7">
      <calculatedColumnFormula>O3/O$1</calculatedColumnFormula>
    </tableColumn>
    <tableColumn id="17" xr3:uid="{72447A8E-6FC7-4C44-B3D7-C0283C86468D}" name="March" dataDxfId="6"/>
    <tableColumn id="18" xr3:uid="{EEEE5A42-EAB9-49FA-8042-4D39CF0C813A}" name="%FTE7" dataDxfId="5">
      <calculatedColumnFormula>Q3/Q$1</calculatedColumnFormula>
    </tableColumn>
    <tableColumn id="19" xr3:uid="{A23454B6-87BD-42BA-9272-E6A026BB340D}" name="April" dataDxfId="4"/>
    <tableColumn id="20" xr3:uid="{1E07E8B1-97D2-4006-BB98-FE9B6C511605}" name="%FTE8" dataDxfId="3">
      <calculatedColumnFormula>S3/S$1</calculatedColumnFormula>
    </tableColumn>
    <tableColumn id="21" xr3:uid="{050D9FEC-1D78-4622-B054-3EBD9DA05498}" name="May" dataDxfId="2"/>
    <tableColumn id="22" xr3:uid="{E12C643F-4934-4C4B-BC48-55E89032DD9D}" name="%FTE9" dataDxfId="1">
      <calculatedColumnFormula>U3/U$1</calculatedColumnFormula>
    </tableColumn>
    <tableColumn id="25" xr3:uid="{50BE8CC1-D6D2-4B46-9CC7-761464010B26}" name="Hours Delta" dataDxfId="0">
      <calculatedColumnFormula>D3-SUM(E3:V3)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L16" sqref="L16"/>
    </sheetView>
  </sheetViews>
  <sheetFormatPr defaultRowHeight="14.5" x14ac:dyDescent="0.35"/>
  <sheetData>
    <row r="1" spans="1:23" ht="15" thickBot="1" x14ac:dyDescent="0.4">
      <c r="A1" s="14" t="s">
        <v>0</v>
      </c>
      <c r="B1" s="14"/>
      <c r="C1" s="14"/>
      <c r="D1" s="14"/>
      <c r="E1">
        <v>168</v>
      </c>
      <c r="G1">
        <v>176</v>
      </c>
      <c r="H1">
        <f>G1/2</f>
        <v>88</v>
      </c>
      <c r="I1">
        <v>144</v>
      </c>
      <c r="J1">
        <f>I1/2</f>
        <v>72</v>
      </c>
      <c r="K1">
        <v>176</v>
      </c>
      <c r="L1">
        <f>K1/2</f>
        <v>88</v>
      </c>
      <c r="M1">
        <v>160</v>
      </c>
      <c r="N1">
        <f>M1/2</f>
        <v>80</v>
      </c>
      <c r="O1">
        <v>152</v>
      </c>
      <c r="Q1">
        <v>176</v>
      </c>
      <c r="S1">
        <v>168</v>
      </c>
      <c r="U1">
        <v>160</v>
      </c>
    </row>
    <row r="2" spans="1:23" ht="15" thickBot="1" x14ac:dyDescent="0.4">
      <c r="A2" s="1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1" t="s">
        <v>7</v>
      </c>
      <c r="H2" s="3" t="s">
        <v>8</v>
      </c>
      <c r="I2" s="6" t="s">
        <v>9</v>
      </c>
      <c r="J2" s="3" t="s">
        <v>10</v>
      </c>
      <c r="K2" s="6" t="s">
        <v>11</v>
      </c>
      <c r="L2" s="3" t="s">
        <v>12</v>
      </c>
      <c r="M2" s="6" t="s">
        <v>13</v>
      </c>
      <c r="N2" s="3" t="s">
        <v>14</v>
      </c>
      <c r="O2" s="6" t="s">
        <v>15</v>
      </c>
      <c r="P2" s="3" t="s">
        <v>16</v>
      </c>
      <c r="Q2" s="6" t="s">
        <v>17</v>
      </c>
      <c r="R2" s="3" t="s">
        <v>18</v>
      </c>
      <c r="S2" s="6" t="s">
        <v>19</v>
      </c>
      <c r="T2" s="3" t="s">
        <v>20</v>
      </c>
      <c r="U2" s="6" t="s">
        <v>21</v>
      </c>
      <c r="V2" s="3" t="s">
        <v>22</v>
      </c>
      <c r="W2" s="7" t="s">
        <v>23</v>
      </c>
    </row>
    <row r="3" spans="1:23" x14ac:dyDescent="0.35">
      <c r="A3" t="s">
        <v>27</v>
      </c>
      <c r="B3" t="s">
        <v>26</v>
      </c>
      <c r="C3" t="s">
        <v>25</v>
      </c>
      <c r="D3" s="8">
        <v>160</v>
      </c>
      <c r="E3" s="9">
        <v>40</v>
      </c>
      <c r="F3" s="10">
        <f>E3/E$1</f>
        <v>0.23809523809523808</v>
      </c>
      <c r="G3" s="8">
        <v>40</v>
      </c>
      <c r="H3" s="10">
        <f>G3/G$1</f>
        <v>0.22727272727272727</v>
      </c>
      <c r="I3" s="11">
        <v>30</v>
      </c>
      <c r="J3" s="10">
        <f>I3/I$1</f>
        <v>0.20833333333333334</v>
      </c>
      <c r="K3" s="11">
        <v>20</v>
      </c>
      <c r="L3" s="10">
        <f>K3/K$1</f>
        <v>0.11363636363636363</v>
      </c>
      <c r="M3" s="11"/>
      <c r="N3" s="10">
        <f>M3/M$1</f>
        <v>0</v>
      </c>
      <c r="O3" s="11"/>
      <c r="P3" s="10">
        <f>O3/O$1</f>
        <v>0</v>
      </c>
      <c r="Q3" s="11"/>
      <c r="R3" s="10">
        <f>Q3/Q$1</f>
        <v>0</v>
      </c>
      <c r="S3" s="11"/>
      <c r="T3" s="10">
        <f>S3/S$1</f>
        <v>0</v>
      </c>
      <c r="U3" s="11"/>
      <c r="V3" s="10">
        <f>U3/U$1</f>
        <v>0</v>
      </c>
      <c r="W3" s="11">
        <f>D3-SUM(E3:V3)</f>
        <v>29.212662337662323</v>
      </c>
    </row>
    <row r="4" spans="1:23" x14ac:dyDescent="0.35">
      <c r="D4" s="8">
        <v>640</v>
      </c>
      <c r="E4" s="9"/>
      <c r="F4" s="10">
        <f t="shared" ref="F4:F6" si="0">E4/$E$1</f>
        <v>0</v>
      </c>
      <c r="G4" s="8"/>
      <c r="H4" s="10">
        <f t="shared" ref="H4:H8" si="1">G4/G$1</f>
        <v>0</v>
      </c>
      <c r="I4" s="11"/>
      <c r="J4" s="10">
        <f t="shared" ref="J4:J8" si="2">I4/I$1</f>
        <v>0</v>
      </c>
      <c r="K4" s="11"/>
      <c r="L4" s="10">
        <f t="shared" ref="L4:L8" si="3">K4/K$1</f>
        <v>0</v>
      </c>
      <c r="M4" s="11"/>
      <c r="N4" s="10">
        <f t="shared" ref="N4:N8" si="4">M4/M$1</f>
        <v>0</v>
      </c>
      <c r="O4" s="11"/>
      <c r="P4" s="10">
        <f t="shared" ref="P4:P8" si="5">O4/O$1</f>
        <v>0</v>
      </c>
      <c r="Q4" s="11"/>
      <c r="R4" s="10">
        <f t="shared" ref="R4:R8" si="6">Q4/Q$1</f>
        <v>0</v>
      </c>
      <c r="S4" s="11"/>
      <c r="T4" s="10">
        <f t="shared" ref="T4:T8" si="7">S4/S$1</f>
        <v>0</v>
      </c>
      <c r="U4" s="11"/>
      <c r="V4" s="10">
        <f t="shared" ref="V4:V8" si="8">U4/U$1</f>
        <v>0</v>
      </c>
      <c r="W4" s="11">
        <f>D4-SUM(E4:V4)</f>
        <v>640</v>
      </c>
    </row>
    <row r="5" spans="1:23" x14ac:dyDescent="0.35">
      <c r="D5" s="8">
        <v>160</v>
      </c>
      <c r="E5" s="9"/>
      <c r="F5" s="10">
        <f t="shared" si="0"/>
        <v>0</v>
      </c>
      <c r="G5" s="8"/>
      <c r="H5" s="10">
        <f t="shared" si="1"/>
        <v>0</v>
      </c>
      <c r="I5" s="11"/>
      <c r="J5" s="10">
        <f t="shared" si="2"/>
        <v>0</v>
      </c>
      <c r="K5" s="11"/>
      <c r="L5" s="10">
        <f t="shared" si="3"/>
        <v>0</v>
      </c>
      <c r="M5" s="11"/>
      <c r="N5" s="10">
        <f t="shared" si="4"/>
        <v>0</v>
      </c>
      <c r="O5" s="11"/>
      <c r="P5" s="10">
        <f t="shared" si="5"/>
        <v>0</v>
      </c>
      <c r="Q5" s="11"/>
      <c r="R5" s="10">
        <f t="shared" si="6"/>
        <v>0</v>
      </c>
      <c r="S5" s="11"/>
      <c r="T5" s="10">
        <f t="shared" si="7"/>
        <v>0</v>
      </c>
      <c r="U5" s="11"/>
      <c r="V5" s="10">
        <f t="shared" si="8"/>
        <v>0</v>
      </c>
      <c r="W5" s="11">
        <f>D5-SUM(E5:V5)</f>
        <v>160</v>
      </c>
    </row>
    <row r="6" spans="1:23" x14ac:dyDescent="0.35">
      <c r="D6" s="8">
        <v>840</v>
      </c>
      <c r="E6" s="9"/>
      <c r="F6" s="10">
        <f t="shared" si="0"/>
        <v>0</v>
      </c>
      <c r="G6" s="8"/>
      <c r="H6" s="10">
        <f t="shared" si="1"/>
        <v>0</v>
      </c>
      <c r="I6" s="11"/>
      <c r="J6" s="10">
        <f t="shared" si="2"/>
        <v>0</v>
      </c>
      <c r="K6" s="11"/>
      <c r="L6" s="10">
        <f t="shared" si="3"/>
        <v>0</v>
      </c>
      <c r="M6" s="11"/>
      <c r="N6" s="10">
        <f t="shared" si="4"/>
        <v>0</v>
      </c>
      <c r="O6" s="11"/>
      <c r="P6" s="10">
        <f t="shared" si="5"/>
        <v>0</v>
      </c>
      <c r="Q6" s="11"/>
      <c r="R6" s="10">
        <f t="shared" si="6"/>
        <v>0</v>
      </c>
      <c r="S6" s="11"/>
      <c r="T6" s="10">
        <f t="shared" si="7"/>
        <v>0</v>
      </c>
      <c r="U6" s="11"/>
      <c r="V6" s="10">
        <f t="shared" si="8"/>
        <v>0</v>
      </c>
      <c r="W6" s="11">
        <f>D6-SUM(E6:V6)</f>
        <v>840</v>
      </c>
    </row>
    <row r="7" spans="1:23" x14ac:dyDescent="0.35">
      <c r="D7" s="8">
        <v>1360</v>
      </c>
      <c r="E7" s="9"/>
      <c r="F7" s="12">
        <f>E7/E1</f>
        <v>0</v>
      </c>
      <c r="G7" s="8"/>
      <c r="H7" s="10">
        <f t="shared" si="1"/>
        <v>0</v>
      </c>
      <c r="I7" s="11"/>
      <c r="J7" s="10">
        <f t="shared" si="2"/>
        <v>0</v>
      </c>
      <c r="K7" s="11"/>
      <c r="L7" s="10">
        <f t="shared" si="3"/>
        <v>0</v>
      </c>
      <c r="M7" s="11"/>
      <c r="N7" s="10">
        <f t="shared" si="4"/>
        <v>0</v>
      </c>
      <c r="O7" s="11"/>
      <c r="P7" s="10">
        <f t="shared" si="5"/>
        <v>0</v>
      </c>
      <c r="Q7" s="11"/>
      <c r="R7" s="10">
        <f t="shared" si="6"/>
        <v>0</v>
      </c>
      <c r="S7" s="11"/>
      <c r="T7" s="10">
        <f t="shared" si="7"/>
        <v>0</v>
      </c>
      <c r="U7" s="11"/>
      <c r="V7" s="10">
        <f t="shared" si="8"/>
        <v>0</v>
      </c>
      <c r="W7" s="11">
        <f t="shared" ref="W7:W8" si="9">D7-SUM(E7:V7)</f>
        <v>1360</v>
      </c>
    </row>
    <row r="8" spans="1:23" x14ac:dyDescent="0.35">
      <c r="D8" s="8">
        <v>1280</v>
      </c>
      <c r="E8" s="9"/>
      <c r="F8" s="12">
        <f>E8/E1</f>
        <v>0</v>
      </c>
      <c r="G8" s="8"/>
      <c r="H8" s="10">
        <f t="shared" si="1"/>
        <v>0</v>
      </c>
      <c r="I8" s="11"/>
      <c r="J8" s="10">
        <f t="shared" si="2"/>
        <v>0</v>
      </c>
      <c r="K8" s="11"/>
      <c r="L8" s="10">
        <f t="shared" si="3"/>
        <v>0</v>
      </c>
      <c r="M8" s="11"/>
      <c r="N8" s="10">
        <f t="shared" si="4"/>
        <v>0</v>
      </c>
      <c r="O8" s="11"/>
      <c r="P8" s="10">
        <f t="shared" si="5"/>
        <v>0</v>
      </c>
      <c r="Q8" s="11"/>
      <c r="R8" s="10">
        <f t="shared" si="6"/>
        <v>0</v>
      </c>
      <c r="S8" s="11"/>
      <c r="T8" s="10">
        <f t="shared" si="7"/>
        <v>0</v>
      </c>
      <c r="U8" s="11"/>
      <c r="V8" s="10">
        <f t="shared" si="8"/>
        <v>0</v>
      </c>
      <c r="W8" s="11">
        <f t="shared" si="9"/>
        <v>1280</v>
      </c>
    </row>
    <row r="11" spans="1:23" x14ac:dyDescent="0.35">
      <c r="A11" s="13" t="s">
        <v>24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Weinstein, Jack [USA]</dc:creator>
  <cp:lastModifiedBy>Weinstein, Jack [USA]</cp:lastModifiedBy>
  <dcterms:created xsi:type="dcterms:W3CDTF">2015-06-05T18:17:20Z</dcterms:created>
  <dcterms:modified xsi:type="dcterms:W3CDTF">2025-11-07T15:44:40Z</dcterms:modified>
</cp:coreProperties>
</file>